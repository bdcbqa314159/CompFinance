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ardo\dev\my_repos\CompFinance\"/>
    </mc:Choice>
  </mc:AlternateContent>
  <xr:revisionPtr revIDLastSave="0" documentId="13_ncr:1_{82D46488-1FE7-491A-BC20-10C99581AA28}" xr6:coauthVersionLast="47" xr6:coauthVersionMax="47" xr10:uidLastSave="{00000000-0000-0000-0000-000000000000}"/>
  <bookViews>
    <workbookView xWindow="-98" yWindow="-98" windowWidth="23236" windowHeight="13996" xr2:uid="{B86492C5-8FE4-4237-A3C4-CEFE931CA8D1}"/>
  </bookViews>
  <sheets>
    <sheet name="Pricer" sheetId="1" r:id="rId1"/>
  </sheets>
  <calcPr calcId="191029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9" i="1" l="1"/>
  <c r="B48" i="1"/>
  <c r="B47" i="1"/>
  <c r="B46" i="1"/>
  <c r="B45" i="1"/>
  <c r="B44" i="1"/>
  <c r="B43" i="1"/>
  <c r="B41" i="1"/>
  <c r="B42" i="1" s="1"/>
  <c r="B18" i="1"/>
  <c r="B17" i="1"/>
  <c r="B16" i="1"/>
  <c r="B15" i="1"/>
  <c r="B14" i="1"/>
  <c r="B13" i="1"/>
  <c r="B12" i="1"/>
  <c r="B10" i="1"/>
  <c r="B11" i="1" s="1"/>
  <c r="M31" i="1"/>
  <c r="L30" i="1" a="1"/>
  <c r="M30" i="1" s="1"/>
  <c r="K29" i="1" a="1"/>
  <c r="L29" i="1" s="1"/>
  <c r="J28" i="1" a="1"/>
  <c r="L28" i="1" s="1"/>
  <c r="I27" i="1" a="1"/>
  <c r="I27" i="1" s="1"/>
  <c r="H26" i="1" a="1"/>
  <c r="J26" i="1" s="1"/>
  <c r="G25" i="1" a="1"/>
  <c r="G25" i="1" s="1"/>
  <c r="F24" i="1" a="1"/>
  <c r="I24" i="1" s="1"/>
  <c r="E23" i="1" a="1"/>
  <c r="E23" i="1" s="1"/>
  <c r="C23" i="1" a="1"/>
  <c r="C26" i="1" s="1"/>
  <c r="K37" i="1" l="1"/>
  <c r="K8" i="1"/>
  <c r="K24" i="1"/>
  <c r="H24" i="1"/>
  <c r="M24" i="1"/>
  <c r="M23" i="1"/>
  <c r="I26" i="1"/>
  <c r="L23" i="1"/>
  <c r="K23" i="1"/>
  <c r="L27" i="1"/>
  <c r="I23" i="1"/>
  <c r="K27" i="1"/>
  <c r="M26" i="1"/>
  <c r="M27" i="1"/>
  <c r="J23" i="1"/>
  <c r="H23" i="1"/>
  <c r="J27" i="1"/>
  <c r="G23" i="1"/>
  <c r="L24" i="1"/>
  <c r="L30" i="1"/>
  <c r="F23" i="1"/>
  <c r="K28" i="1"/>
  <c r="K29" i="1"/>
  <c r="G24" i="1"/>
  <c r="F24" i="1"/>
  <c r="H26" i="1"/>
  <c r="M25" i="1"/>
  <c r="H25" i="1"/>
  <c r="M28" i="1"/>
  <c r="J28" i="1"/>
  <c r="L25" i="1"/>
  <c r="K25" i="1"/>
  <c r="J25" i="1"/>
  <c r="I25" i="1"/>
  <c r="M29" i="1"/>
  <c r="L26" i="1"/>
  <c r="J24" i="1"/>
  <c r="K26" i="1"/>
  <c r="C25" i="1"/>
  <c r="C24" i="1"/>
  <c r="C23" i="1"/>
  <c r="C27" i="1"/>
  <c r="C32" i="1"/>
  <c r="C31" i="1"/>
  <c r="C30" i="1"/>
  <c r="C29" i="1"/>
  <c r="C28" i="1"/>
  <c r="K3" i="1"/>
  <c r="U2" i="1" s="1"/>
  <c r="G53" i="1" l="1" a="1"/>
  <c r="D22" i="1" a="1"/>
  <c r="K2" i="1"/>
  <c r="Q19" i="1" a="1"/>
  <c r="Q15" i="1" a="1"/>
  <c r="Q15" i="1" l="1"/>
  <c r="R15" i="1"/>
  <c r="Q37" i="1"/>
  <c r="R85" i="1"/>
  <c r="R102" i="1"/>
  <c r="Q88" i="1"/>
  <c r="Q19" i="1"/>
  <c r="R21" i="1"/>
  <c r="Q31" i="1"/>
  <c r="Q113" i="1"/>
  <c r="Q76" i="1"/>
  <c r="R48" i="1"/>
  <c r="R74" i="1"/>
  <c r="R60" i="1"/>
  <c r="Q45" i="1"/>
  <c r="R93" i="1"/>
  <c r="Q23" i="1"/>
  <c r="Q112" i="1"/>
  <c r="Q43" i="1"/>
  <c r="R37" i="1"/>
  <c r="Q71" i="1"/>
  <c r="R41" i="1"/>
  <c r="Q108" i="1"/>
  <c r="R64" i="1"/>
  <c r="R98" i="1"/>
  <c r="R84" i="1"/>
  <c r="Q26" i="1"/>
  <c r="Q53" i="1"/>
  <c r="R101" i="1"/>
  <c r="Q39" i="1"/>
  <c r="R32" i="1"/>
  <c r="Q67" i="1"/>
  <c r="R77" i="1"/>
  <c r="Q87" i="1"/>
  <c r="R57" i="1"/>
  <c r="R44" i="1"/>
  <c r="R80" i="1"/>
  <c r="Q27" i="1"/>
  <c r="R108" i="1"/>
  <c r="Q34" i="1"/>
  <c r="Q61" i="1"/>
  <c r="R109" i="1"/>
  <c r="Q47" i="1"/>
  <c r="R56" i="1"/>
  <c r="Q91" i="1"/>
  <c r="Q30" i="1"/>
  <c r="Q111" i="1"/>
  <c r="R81" i="1"/>
  <c r="R76" i="1"/>
  <c r="R96" i="1"/>
  <c r="Q51" i="1"/>
  <c r="Q75" i="1"/>
  <c r="Q42" i="1"/>
  <c r="Q69" i="1"/>
  <c r="R117" i="1"/>
  <c r="Q55" i="1"/>
  <c r="R88" i="1"/>
  <c r="Q115" i="1"/>
  <c r="Q38" i="1"/>
  <c r="R31" i="1"/>
  <c r="R105" i="1"/>
  <c r="R116" i="1"/>
  <c r="R112" i="1"/>
  <c r="Q83" i="1"/>
  <c r="Q20" i="1"/>
  <c r="R118" i="1"/>
  <c r="Q107" i="1"/>
  <c r="Q85" i="1"/>
  <c r="R51" i="1"/>
  <c r="R66" i="1"/>
  <c r="Q84" i="1"/>
  <c r="Q93" i="1"/>
  <c r="R90" i="1"/>
  <c r="R23" i="1"/>
  <c r="Q64" i="1"/>
  <c r="Q102" i="1"/>
  <c r="Q110" i="1"/>
  <c r="R25" i="1"/>
  <c r="Q117" i="1"/>
  <c r="R30" i="1"/>
  <c r="R103" i="1"/>
  <c r="R29" i="1"/>
  <c r="R38" i="1"/>
  <c r="R115" i="1"/>
  <c r="R111" i="1"/>
  <c r="Q56" i="1"/>
  <c r="Q60" i="1"/>
  <c r="Q46" i="1"/>
  <c r="Q70" i="1"/>
  <c r="Q57" i="1"/>
  <c r="Q62" i="1"/>
  <c r="Q40" i="1"/>
  <c r="R20" i="1"/>
  <c r="Q86" i="1"/>
  <c r="Q94" i="1"/>
  <c r="Q105" i="1"/>
  <c r="R47" i="1"/>
  <c r="Q96" i="1"/>
  <c r="R75" i="1"/>
  <c r="R73" i="1"/>
  <c r="R49" i="1"/>
  <c r="R87" i="1"/>
  <c r="Q99" i="1"/>
  <c r="R46" i="1"/>
  <c r="R35" i="1"/>
  <c r="Q32" i="1"/>
  <c r="Q50" i="1"/>
  <c r="Q77" i="1"/>
  <c r="Q22" i="1"/>
  <c r="Q63" i="1"/>
  <c r="Q25" i="1"/>
  <c r="R27" i="1"/>
  <c r="Q54" i="1"/>
  <c r="R63" i="1"/>
  <c r="R42" i="1"/>
  <c r="Q33" i="1"/>
  <c r="Q79" i="1"/>
  <c r="R95" i="1"/>
  <c r="R19" i="1"/>
  <c r="Q66" i="1"/>
  <c r="Q73" i="1"/>
  <c r="R83" i="1"/>
  <c r="R39" i="1"/>
  <c r="R43" i="1"/>
  <c r="Q101" i="1"/>
  <c r="Q97" i="1"/>
  <c r="R114" i="1"/>
  <c r="R59" i="1"/>
  <c r="Q82" i="1"/>
  <c r="Q28" i="1"/>
  <c r="R79" i="1"/>
  <c r="Q90" i="1"/>
  <c r="Q52" i="1"/>
  <c r="Q59" i="1"/>
  <c r="R22" i="1"/>
  <c r="R72" i="1"/>
  <c r="R45" i="1"/>
  <c r="R54" i="1"/>
  <c r="Q58" i="1"/>
  <c r="Q49" i="1"/>
  <c r="Q103" i="1"/>
  <c r="Q95" i="1"/>
  <c r="Q78" i="1"/>
  <c r="Q81" i="1"/>
  <c r="Q74" i="1"/>
  <c r="R107" i="1"/>
  <c r="R55" i="1"/>
  <c r="R52" i="1"/>
  <c r="Q109" i="1"/>
  <c r="R33" i="1"/>
  <c r="Q35" i="1"/>
  <c r="R92" i="1"/>
  <c r="R71" i="1"/>
  <c r="R24" i="1"/>
  <c r="R91" i="1"/>
  <c r="Q98" i="1"/>
  <c r="R97" i="1"/>
  <c r="R65" i="1"/>
  <c r="R34" i="1"/>
  <c r="R104" i="1"/>
  <c r="Q114" i="1"/>
  <c r="Q24" i="1"/>
  <c r="Q118" i="1"/>
  <c r="Q92" i="1"/>
  <c r="Q116" i="1"/>
  <c r="R89" i="1"/>
  <c r="R62" i="1"/>
  <c r="Q106" i="1"/>
  <c r="Q36" i="1"/>
  <c r="R36" i="1"/>
  <c r="Q21" i="1"/>
  <c r="R110" i="1"/>
  <c r="Q29" i="1"/>
  <c r="Q41" i="1"/>
  <c r="R53" i="1"/>
  <c r="Q65" i="1"/>
  <c r="R61" i="1"/>
  <c r="Q89" i="1"/>
  <c r="R69" i="1"/>
  <c r="R67" i="1"/>
  <c r="R70" i="1"/>
  <c r="R99" i="1"/>
  <c r="R86" i="1"/>
  <c r="Q44" i="1"/>
  <c r="Q48" i="1"/>
  <c r="Q80" i="1"/>
  <c r="Q72" i="1"/>
  <c r="Q104" i="1"/>
  <c r="R58" i="1"/>
  <c r="R40" i="1"/>
  <c r="R82" i="1"/>
  <c r="R113" i="1"/>
  <c r="R106" i="1"/>
  <c r="R26" i="1"/>
  <c r="R68" i="1"/>
  <c r="R50" i="1"/>
  <c r="R100" i="1"/>
  <c r="Q68" i="1"/>
  <c r="R78" i="1"/>
  <c r="Q100" i="1"/>
  <c r="R94" i="1"/>
  <c r="R28" i="1"/>
  <c r="G53" i="1"/>
  <c r="G54" i="1"/>
  <c r="G56" i="1"/>
  <c r="G61" i="1"/>
  <c r="G55" i="1"/>
  <c r="G57" i="1"/>
  <c r="G58" i="1"/>
  <c r="G59" i="1"/>
  <c r="G60" i="1"/>
  <c r="G62" i="1"/>
  <c r="I22" i="1"/>
  <c r="G22" i="1"/>
  <c r="F22" i="1"/>
  <c r="D22" i="1"/>
  <c r="L22" i="1"/>
  <c r="H22" i="1"/>
  <c r="M22" i="1"/>
  <c r="K22" i="1"/>
  <c r="J22" i="1"/>
  <c r="E22" i="1"/>
  <c r="D39" i="1" l="1" a="1"/>
  <c r="H39" i="1" l="1"/>
  <c r="D39" i="1"/>
  <c r="F39" i="1"/>
  <c r="G39" i="1"/>
  <c r="E39" i="1"/>
  <c r="I39" i="1"/>
  <c r="L39" i="1"/>
  <c r="M39" i="1"/>
  <c r="J39" i="1"/>
  <c r="K39" i="1"/>
</calcChain>
</file>

<file path=xl/sharedStrings.xml><?xml version="1.0" encoding="utf-8"?>
<sst xmlns="http://schemas.openxmlformats.org/spreadsheetml/2006/main" count="66" uniqueCount="61">
  <si>
    <t>spot</t>
  </si>
  <si>
    <t>asset</t>
  </si>
  <si>
    <t>atm</t>
  </si>
  <si>
    <t>skew</t>
  </si>
  <si>
    <t>atm black-scholes volatility, e.g. 40%</t>
  </si>
  <si>
    <t>skew in vol points per 1% change in strike, e.g. -0.5 means strike 99% of spot is half a vol more expensive than atm</t>
  </si>
  <si>
    <t>uber</t>
  </si>
  <si>
    <t>lyft</t>
  </si>
  <si>
    <t>historical correlation, normally estimated over 3y historical close to close returns</t>
  </si>
  <si>
    <t>input</t>
  </si>
  <si>
    <t>calc</t>
  </si>
  <si>
    <t>dates</t>
  </si>
  <si>
    <t>repo spreads in %, e.g. 0.25% means you may finance at discount rate - 25bp with share as collateral</t>
  </si>
  <si>
    <t>discount rate</t>
  </si>
  <si>
    <t>repo spr</t>
  </si>
  <si>
    <t>Model</t>
  </si>
  <si>
    <t>n assets</t>
  </si>
  <si>
    <t>n dates</t>
  </si>
  <si>
    <t>lambda</t>
  </si>
  <si>
    <t>shift correl by a fraction lamabda (typically 25%) of distance to 1</t>
  </si>
  <si>
    <t>maturity</t>
  </si>
  <si>
    <t>periods</t>
  </si>
  <si>
    <t>ko thresh</t>
  </si>
  <si>
    <t>strike</t>
  </si>
  <si>
    <t>cpn</t>
  </si>
  <si>
    <t>smooth</t>
  </si>
  <si>
    <t>total number of periods</t>
  </si>
  <si>
    <t>final put strike in % of reference spots, e.g. 70%</t>
  </si>
  <si>
    <t>ko threshold in % of reference spot, e.g. 100%</t>
  </si>
  <si>
    <t>coupon, annualized, e.g. 18%</t>
  </si>
  <si>
    <t>smoothing factor for risk, e.g. 1%</t>
  </si>
  <si>
    <t>in years from today, e.g. 0.5 for 6m</t>
  </si>
  <si>
    <t>Product</t>
  </si>
  <si>
    <t>Price</t>
  </si>
  <si>
    <t>paths</t>
  </si>
  <si>
    <t>parallel</t>
  </si>
  <si>
    <t>dates are in years from today, e.g. 0.25 for 3m</t>
  </si>
  <si>
    <t>projected dividends, in % of the spot on the div date, e.g. 2%</t>
  </si>
  <si>
    <t>Risk</t>
  </si>
  <si>
    <t>all risks in change of value for unit change in market variable, e.g. X -5% means value reduces by 5bp if X increases by 1%</t>
  </si>
  <si>
    <t>&lt;== price here</t>
  </si>
  <si>
    <t>&lt;== risk here</t>
  </si>
  <si>
    <t>all periods except final</t>
  </si>
  <si>
    <t xml:space="preserve"> - receive cpn * dt</t>
  </si>
  <si>
    <t>Final period (if alive)</t>
  </si>
  <si>
    <t>perf = spot / ref -- ref typically = spot today</t>
  </si>
  <si>
    <t xml:space="preserve"> - else redeem worst_perf / strike</t>
  </si>
  <si>
    <t xml:space="preserve"> - if worst_perf &gt; strike, redeem 100%</t>
  </si>
  <si>
    <t xml:space="preserve"> - if worst_perf &gt; ko, redeem 100% and exit</t>
  </si>
  <si>
    <t>do not touch</t>
  </si>
  <si>
    <t>your inputs here</t>
  </si>
  <si>
    <t>luckin</t>
  </si>
  <si>
    <t>interest rate, annualized</t>
  </si>
  <si>
    <t>annualized</t>
  </si>
  <si>
    <t>payoff</t>
  </si>
  <si>
    <t>&lt;== put or remove for 2/3 assets</t>
  </si>
  <si>
    <t>use solver to find coupon, e.g. target price = 98%</t>
  </si>
  <si>
    <t>tip</t>
  </si>
  <si>
    <t>number of assets = non-empty cells in asset names</t>
  </si>
  <si>
    <t>results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</si>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</sst>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;0.00;"/>
    <numFmt numFmtId="166" formatCode="_(* #,##0_);_(* \(#,##0\);_(* &quot;-&quot;??_);_(@_)"/>
    <numFmt numFmtId="167" formatCode="0%;\%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6" fillId="4" borderId="0" applyNumberFormat="0" applyBorder="0" applyAlignment="0" applyProtection="0"/>
    <xf numFmtId="0" fontId="10" fillId="6" borderId="1" applyNumberFormat="0" applyAlignment="0" applyProtection="0"/>
  </cellStyleXfs>
  <cellXfs count="49">
    <xf numFmtId="0" fontId="0" fillId="0" borderId="0" xfId="0"/>
    <xf numFmtId="0" fontId="2" fillId="2" borderId="0" xfId="2" applyAlignment="1">
      <alignment horizontal="center"/>
    </xf>
    <xf numFmtId="0" fontId="3" fillId="3" borderId="1" xfId="3" applyAlignment="1">
      <alignment horizontal="center"/>
    </xf>
    <xf numFmtId="10" fontId="3" fillId="3" borderId="1" xfId="3" applyNumberFormat="1" applyAlignment="1">
      <alignment horizontal="center"/>
    </xf>
    <xf numFmtId="2" fontId="3" fillId="3" borderId="1" xfId="3" applyNumberFormat="1" applyAlignment="1">
      <alignment horizontal="center"/>
    </xf>
    <xf numFmtId="0" fontId="2" fillId="2" borderId="0" xfId="2"/>
    <xf numFmtId="165" fontId="2" fillId="2" borderId="0" xfId="2" applyNumberFormat="1" applyAlignment="1">
      <alignment horizontal="center"/>
    </xf>
    <xf numFmtId="0" fontId="3" fillId="3" borderId="1" xfId="3"/>
    <xf numFmtId="0" fontId="4" fillId="0" borderId="0" xfId="4"/>
    <xf numFmtId="10" fontId="3" fillId="3" borderId="1" xfId="1" applyNumberFormat="1" applyFont="1" applyFill="1" applyBorder="1" applyAlignment="1">
      <alignment horizontal="center"/>
    </xf>
    <xf numFmtId="10" fontId="3" fillId="3" borderId="2" xfId="1" applyNumberFormat="1" applyFont="1" applyFill="1" applyBorder="1" applyAlignment="1">
      <alignment horizontal="center"/>
    </xf>
    <xf numFmtId="0" fontId="3" fillId="3" borderId="3" xfId="3" applyBorder="1" applyAlignment="1">
      <alignment horizontal="center"/>
    </xf>
    <xf numFmtId="0" fontId="3" fillId="3" borderId="4" xfId="3" applyBorder="1" applyAlignment="1">
      <alignment horizontal="center"/>
    </xf>
    <xf numFmtId="0" fontId="3" fillId="3" borderId="5" xfId="3" applyBorder="1" applyAlignment="1">
      <alignment horizontal="center"/>
    </xf>
    <xf numFmtId="9" fontId="3" fillId="3" borderId="1" xfId="3" applyNumberFormat="1" applyAlignment="1">
      <alignment horizontal="center"/>
    </xf>
    <xf numFmtId="0" fontId="2" fillId="2" borderId="0" xfId="2" applyBorder="1" applyAlignment="1">
      <alignment horizontal="center"/>
    </xf>
    <xf numFmtId="166" fontId="3" fillId="3" borderId="1" xfId="5" applyNumberFormat="1" applyFont="1" applyFill="1" applyBorder="1"/>
    <xf numFmtId="0" fontId="6" fillId="4" borderId="0" xfId="6"/>
    <xf numFmtId="0" fontId="8" fillId="0" borderId="0" xfId="0" applyFont="1"/>
    <xf numFmtId="0" fontId="2" fillId="2" borderId="7" xfId="2" applyBorder="1"/>
    <xf numFmtId="0" fontId="0" fillId="0" borderId="0" xfId="0" applyAlignment="1">
      <alignment horizontal="center"/>
    </xf>
    <xf numFmtId="0" fontId="0" fillId="5" borderId="9" xfId="0" applyFill="1" applyBorder="1"/>
    <xf numFmtId="0" fontId="0" fillId="5" borderId="0" xfId="0" applyFill="1"/>
    <xf numFmtId="0" fontId="0" fillId="5" borderId="10" xfId="0" applyFill="1" applyBorder="1"/>
    <xf numFmtId="0" fontId="0" fillId="5" borderId="9" xfId="0" quotePrefix="1" applyFill="1" applyBorder="1"/>
    <xf numFmtId="0" fontId="4" fillId="5" borderId="0" xfId="4" applyFill="1" applyBorder="1"/>
    <xf numFmtId="0" fontId="0" fillId="5" borderId="11" xfId="0" quotePrefix="1" applyFill="1" applyBorder="1"/>
    <xf numFmtId="0" fontId="0" fillId="5" borderId="12" xfId="0" applyFill="1" applyBorder="1"/>
    <xf numFmtId="0" fontId="0" fillId="5" borderId="13" xfId="0" applyFill="1" applyBorder="1"/>
    <xf numFmtId="167" fontId="2" fillId="2" borderId="0" xfId="2" applyNumberFormat="1" applyAlignment="1">
      <alignment horizontal="center"/>
    </xf>
    <xf numFmtId="167" fontId="3" fillId="3" borderId="1" xfId="3" applyNumberFormat="1" applyAlignment="1">
      <alignment horizontal="center"/>
    </xf>
    <xf numFmtId="0" fontId="9" fillId="2" borderId="7" xfId="2" applyFont="1" applyBorder="1"/>
    <xf numFmtId="9" fontId="3" fillId="3" borderId="15" xfId="3" applyNumberFormat="1" applyBorder="1" applyAlignment="1">
      <alignment horizontal="center"/>
    </xf>
    <xf numFmtId="9" fontId="3" fillId="3" borderId="16" xfId="3" applyNumberFormat="1" applyBorder="1" applyAlignment="1">
      <alignment horizontal="center"/>
    </xf>
    <xf numFmtId="9" fontId="3" fillId="3" borderId="6" xfId="3" applyNumberFormat="1" applyBorder="1" applyAlignment="1">
      <alignment horizontal="center"/>
    </xf>
    <xf numFmtId="164" fontId="3" fillId="3" borderId="2" xfId="5" applyFont="1" applyFill="1" applyBorder="1" applyAlignment="1">
      <alignment horizontal="center"/>
    </xf>
    <xf numFmtId="10" fontId="10" fillId="6" borderId="4" xfId="7" applyNumberFormat="1" applyBorder="1"/>
    <xf numFmtId="10" fontId="10" fillId="6" borderId="5" xfId="7" applyNumberFormat="1" applyBorder="1"/>
    <xf numFmtId="10" fontId="10" fillId="6" borderId="6" xfId="7" applyNumberFormat="1" applyBorder="1"/>
    <xf numFmtId="10" fontId="10" fillId="6" borderId="6" xfId="7" applyNumberFormat="1" applyBorder="1" applyAlignment="1">
      <alignment horizontal="center"/>
    </xf>
    <xf numFmtId="0" fontId="10" fillId="6" borderId="6" xfId="7" applyBorder="1"/>
    <xf numFmtId="0" fontId="5" fillId="2" borderId="7" xfId="2" applyFont="1" applyBorder="1" applyAlignment="1">
      <alignment horizontal="center"/>
    </xf>
    <xf numFmtId="10" fontId="10" fillId="6" borderId="17" xfId="7" applyNumberFormat="1" applyBorder="1"/>
    <xf numFmtId="0" fontId="7" fillId="5" borderId="7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8" xfId="0" applyFill="1" applyBorder="1" applyAlignment="1">
      <alignment horizontal="center"/>
    </xf>
  </cellXfs>
  <cellStyles count="8">
    <cellStyle name="Bad" xfId="6" builtinId="27"/>
    <cellStyle name="Calculation" xfId="7" builtinId="22"/>
    <cellStyle name="Comma" xfId="5" builtinId="3"/>
    <cellStyle name="Explanatory Text" xfId="4" builtinId="53"/>
    <cellStyle name="Good" xfId="2" builtinId="26"/>
    <cellStyle name="Input" xfId="3" builtinId="20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DAF8B-FD97-4102-B095-760DF1A411B5}">
  <dimension ref="B1:V118"/>
  <sheetViews>
    <sheetView tabSelected="1" zoomScaleNormal="100" workbookViewId="0">
      <selection activeCell="J19" sqref="J19"/>
    </sheetView>
  </sheetViews>
  <sheetFormatPr defaultRowHeight="14.25" x14ac:dyDescent="0.45"/>
  <cols>
    <col min="16" max="16" width="11.06640625" bestFit="1" customWidth="1"/>
    <col min="17" max="17" width="30.06640625" bestFit="1" customWidth="1"/>
  </cols>
  <sheetData>
    <row r="1" spans="2:22" ht="14.65" thickBot="1" x14ac:dyDescent="0.5"/>
    <row r="2" spans="2:22" ht="14.65" thickBot="1" x14ac:dyDescent="0.5">
      <c r="C2" s="7" t="s">
        <v>9</v>
      </c>
      <c r="D2" s="8" t="s">
        <v>50</v>
      </c>
      <c r="F2" s="39" t="s">
        <v>59</v>
      </c>
      <c r="J2" s="41" t="s">
        <v>15</v>
      </c>
      <c r="K2" s="40" t="str">
        <f ca="1">_xll.xPutDLM(OFFSET(C9,0,0,$K$8,1),OFFSET(D9,0,0,$K$8,1),OFFSET(E9,0,0,$K$8,1),OFFSET(F9,0,0,$K$8,1),E52,OFFSET(H53,0,0,$K$8,1),OFFSET(C40,0,0,$K$37,1),OFFSET(D40,0,0,$K$37,$K$8),OFFSET(D23,0,0,$K$8,$K$8),K34,"dlm")</f>
        <v>dlm</v>
      </c>
      <c r="O2" s="43" t="s">
        <v>54</v>
      </c>
      <c r="P2" s="44"/>
      <c r="Q2" s="44"/>
      <c r="R2" s="45"/>
      <c r="T2" s="15" t="s">
        <v>60</v>
      </c>
      <c r="U2" s="8" t="str">
        <f ca="1">_xll.xPayoffIds(K3)</f>
        <v>autocall strike 70 KO 100 CPN 32 6 periods of 1m</v>
      </c>
    </row>
    <row r="3" spans="2:22" ht="14.65" thickBot="1" x14ac:dyDescent="0.5">
      <c r="C3" s="5" t="s">
        <v>10</v>
      </c>
      <c r="D3" s="8" t="s">
        <v>49</v>
      </c>
      <c r="J3" s="41" t="s">
        <v>32</v>
      </c>
      <c r="K3" s="40" t="str">
        <f ca="1">_xll.xPutAutocall(OFFSET(C9,0,0,$K$8,1),OFFSET(D9,0,0,$K$8,1),U4,U5,U6,U7,U8,U9,"autocall")</f>
        <v>autocall</v>
      </c>
      <c r="O3" s="21" t="s">
        <v>45</v>
      </c>
      <c r="P3" s="22"/>
      <c r="Q3" s="22"/>
      <c r="R3" s="23"/>
    </row>
    <row r="4" spans="2:22" x14ac:dyDescent="0.45">
      <c r="O4" s="21"/>
      <c r="P4" s="22"/>
      <c r="Q4" s="22"/>
      <c r="R4" s="23"/>
      <c r="T4" s="5" t="s">
        <v>20</v>
      </c>
      <c r="U4" s="2">
        <v>0.5</v>
      </c>
      <c r="V4" s="8" t="s">
        <v>31</v>
      </c>
    </row>
    <row r="5" spans="2:22" x14ac:dyDescent="0.45">
      <c r="C5" t="s">
        <v>2</v>
      </c>
      <c r="D5" s="8" t="s">
        <v>4</v>
      </c>
      <c r="O5" s="21" t="s">
        <v>42</v>
      </c>
      <c r="P5" s="22"/>
      <c r="Q5" s="22"/>
      <c r="R5" s="23"/>
      <c r="T5" s="5" t="s">
        <v>21</v>
      </c>
      <c r="U5" s="2">
        <v>6</v>
      </c>
      <c r="V5" s="8" t="s">
        <v>26</v>
      </c>
    </row>
    <row r="6" spans="2:22" x14ac:dyDescent="0.45">
      <c r="C6" t="s">
        <v>3</v>
      </c>
      <c r="D6" s="8" t="s">
        <v>5</v>
      </c>
      <c r="O6" s="24" t="s">
        <v>43</v>
      </c>
      <c r="P6" s="22"/>
      <c r="Q6" s="22"/>
      <c r="R6" s="23"/>
      <c r="T6" s="5" t="s">
        <v>22</v>
      </c>
      <c r="U6" s="14">
        <v>1</v>
      </c>
      <c r="V6" s="8" t="s">
        <v>28</v>
      </c>
    </row>
    <row r="7" spans="2:22" ht="14.65" thickBot="1" x14ac:dyDescent="0.5">
      <c r="O7" s="24" t="s">
        <v>48</v>
      </c>
      <c r="P7" s="22"/>
      <c r="Q7" s="22"/>
      <c r="R7" s="23"/>
      <c r="T7" s="5" t="s">
        <v>23</v>
      </c>
      <c r="U7" s="32">
        <v>0.7</v>
      </c>
      <c r="V7" s="8" t="s">
        <v>27</v>
      </c>
    </row>
    <row r="8" spans="2:22" ht="14.65" thickBot="1" x14ac:dyDescent="0.5">
      <c r="C8" s="1" t="s">
        <v>1</v>
      </c>
      <c r="D8" s="1" t="s">
        <v>0</v>
      </c>
      <c r="E8" s="1" t="s">
        <v>2</v>
      </c>
      <c r="F8" s="1" t="s">
        <v>3</v>
      </c>
      <c r="J8" s="1" t="s">
        <v>16</v>
      </c>
      <c r="K8" s="1">
        <f>MAX(B9:B18)</f>
        <v>3</v>
      </c>
      <c r="O8" s="21"/>
      <c r="P8" s="22"/>
      <c r="Q8" s="22"/>
      <c r="R8" s="23"/>
      <c r="T8" s="5" t="s">
        <v>24</v>
      </c>
      <c r="U8" s="34">
        <v>0.32408695869419402</v>
      </c>
      <c r="V8" s="8" t="s">
        <v>29</v>
      </c>
    </row>
    <row r="9" spans="2:22" x14ac:dyDescent="0.45">
      <c r="B9" s="5">
        <v>1</v>
      </c>
      <c r="C9" s="11" t="s">
        <v>6</v>
      </c>
      <c r="D9" s="35">
        <v>31.55</v>
      </c>
      <c r="E9" s="3">
        <v>0.45</v>
      </c>
      <c r="F9" s="4">
        <v>-0.1</v>
      </c>
      <c r="O9" s="21" t="s">
        <v>44</v>
      </c>
      <c r="P9" s="22"/>
      <c r="Q9" s="22"/>
      <c r="R9" s="23"/>
      <c r="T9" s="5" t="s">
        <v>25</v>
      </c>
      <c r="U9" s="33">
        <v>0.01</v>
      </c>
      <c r="V9" s="8" t="s">
        <v>30</v>
      </c>
    </row>
    <row r="10" spans="2:22" x14ac:dyDescent="0.45">
      <c r="B10" s="5">
        <f>IF(LEN(C10)&gt;0,B9+1,"")</f>
        <v>2</v>
      </c>
      <c r="C10" s="12" t="s">
        <v>7</v>
      </c>
      <c r="D10" s="35">
        <v>42</v>
      </c>
      <c r="E10" s="3">
        <v>0.5</v>
      </c>
      <c r="F10" s="4">
        <v>-0.5</v>
      </c>
      <c r="O10" s="24" t="s">
        <v>43</v>
      </c>
      <c r="P10" s="22"/>
      <c r="Q10" s="22"/>
      <c r="R10" s="23"/>
    </row>
    <row r="11" spans="2:22" x14ac:dyDescent="0.45">
      <c r="B11" s="5">
        <f t="shared" ref="B11:B18" si="0">IF(LEN(C11)&gt;0,B10+1,"")</f>
        <v>3</v>
      </c>
      <c r="C11" s="12" t="s">
        <v>51</v>
      </c>
      <c r="D11" s="35">
        <v>20</v>
      </c>
      <c r="E11" s="9">
        <v>0.7</v>
      </c>
      <c r="F11" s="4">
        <v>-0.1</v>
      </c>
      <c r="H11" s="2" t="s">
        <v>51</v>
      </c>
      <c r="I11" s="18" t="s">
        <v>55</v>
      </c>
      <c r="O11" s="24" t="s">
        <v>47</v>
      </c>
      <c r="P11" s="25"/>
      <c r="Q11" s="25"/>
      <c r="R11" s="23"/>
      <c r="T11" s="5" t="s">
        <v>34</v>
      </c>
      <c r="U11" s="16">
        <v>100000</v>
      </c>
    </row>
    <row r="12" spans="2:22" ht="14.65" thickBot="1" x14ac:dyDescent="0.5">
      <c r="B12" s="5" t="str">
        <f t="shared" si="0"/>
        <v/>
      </c>
      <c r="C12" s="12"/>
      <c r="D12" s="35"/>
      <c r="E12" s="9"/>
      <c r="F12" s="4"/>
      <c r="I12" s="8" t="s">
        <v>58</v>
      </c>
      <c r="O12" s="26" t="s">
        <v>46</v>
      </c>
      <c r="P12" s="27"/>
      <c r="Q12" s="27"/>
      <c r="R12" s="28"/>
      <c r="T12" s="5" t="s">
        <v>35</v>
      </c>
      <c r="U12" s="7" t="b">
        <v>1</v>
      </c>
    </row>
    <row r="13" spans="2:22" ht="14.65" thickBot="1" x14ac:dyDescent="0.5">
      <c r="B13" s="5" t="str">
        <f t="shared" si="0"/>
        <v/>
      </c>
      <c r="C13" s="12"/>
      <c r="D13" s="35"/>
      <c r="E13" s="9"/>
      <c r="F13" s="4"/>
    </row>
    <row r="14" spans="2:22" ht="14.65" thickBot="1" x14ac:dyDescent="0.5">
      <c r="B14" s="5" t="str">
        <f t="shared" si="0"/>
        <v/>
      </c>
      <c r="C14" s="12"/>
      <c r="D14" s="35"/>
      <c r="E14" s="9"/>
      <c r="F14" s="4"/>
      <c r="H14" s="43" t="s">
        <v>57</v>
      </c>
      <c r="I14" s="44"/>
      <c r="J14" s="44"/>
      <c r="K14" s="44"/>
      <c r="L14" s="45"/>
    </row>
    <row r="15" spans="2:22" ht="14.65" thickBot="1" x14ac:dyDescent="0.5">
      <c r="B15" s="5" t="str">
        <f t="shared" si="0"/>
        <v/>
      </c>
      <c r="C15" s="12"/>
      <c r="D15" s="35"/>
      <c r="E15" s="9"/>
      <c r="F15" s="4"/>
      <c r="H15" s="46" t="s">
        <v>56</v>
      </c>
      <c r="I15" s="47"/>
      <c r="J15" s="47"/>
      <c r="K15" s="47"/>
      <c r="L15" s="48"/>
      <c r="O15" s="17" t="s">
        <v>33</v>
      </c>
      <c r="Q15" s="31" t="str">
        <f t="array" aca="1" ref="Q15:R15" ca="1">_xll.xValue(K2,K3,TRUE,,,U11,U12)</f>
        <v>autocall strike 70 KO 100 CPN 32 6 periods of 1m</v>
      </c>
      <c r="R15" s="38">
        <f ca="1"/>
        <v>0.97999999999776133</v>
      </c>
      <c r="S15" s="18" t="s">
        <v>40</v>
      </c>
    </row>
    <row r="16" spans="2:22" x14ac:dyDescent="0.45">
      <c r="B16" s="5" t="str">
        <f t="shared" si="0"/>
        <v/>
      </c>
      <c r="C16" s="12"/>
      <c r="D16" s="35"/>
      <c r="E16" s="9"/>
      <c r="F16" s="4"/>
    </row>
    <row r="17" spans="2:19" x14ac:dyDescent="0.45">
      <c r="B17" s="5" t="str">
        <f t="shared" si="0"/>
        <v/>
      </c>
      <c r="C17" s="12"/>
      <c r="D17" s="35"/>
      <c r="E17" s="9"/>
      <c r="F17" s="4"/>
      <c r="O17" s="8" t="s">
        <v>39</v>
      </c>
    </row>
    <row r="18" spans="2:19" ht="14.65" thickBot="1" x14ac:dyDescent="0.5">
      <c r="B18" s="5" t="str">
        <f t="shared" si="0"/>
        <v/>
      </c>
      <c r="C18" s="13"/>
      <c r="D18" s="35"/>
      <c r="E18" s="9"/>
      <c r="F18" s="4"/>
    </row>
    <row r="19" spans="2:19" ht="14.65" thickBot="1" x14ac:dyDescent="0.5">
      <c r="O19" s="17" t="s">
        <v>38</v>
      </c>
      <c r="Q19" s="19" t="str">
        <f t="array" aca="1" ref="Q19:R118" ca="1">_xll.xAADrisk(K2,K3,U2,TRUE,,,U11,U12)</f>
        <v>value</v>
      </c>
      <c r="R19" s="38">
        <f ca="1"/>
        <v>0.97999999999776133</v>
      </c>
      <c r="S19" s="18" t="s">
        <v>40</v>
      </c>
    </row>
    <row r="20" spans="2:19" x14ac:dyDescent="0.45">
      <c r="C20" s="8" t="s">
        <v>8</v>
      </c>
      <c r="Q20" s="5" t="str">
        <f ca="1"/>
        <v>disc rate</v>
      </c>
      <c r="R20" s="42">
        <f ca="1"/>
        <v>-0.1437821897555695</v>
      </c>
      <c r="S20" s="18" t="s">
        <v>41</v>
      </c>
    </row>
    <row r="21" spans="2:19" x14ac:dyDescent="0.45">
      <c r="Q21" s="5" t="str">
        <f ca="1"/>
        <v>spot uber</v>
      </c>
      <c r="R21" s="36">
        <f ca="1"/>
        <v>1.6811137718893639E-4</v>
      </c>
    </row>
    <row r="22" spans="2:19" x14ac:dyDescent="0.45">
      <c r="C22" s="6"/>
      <c r="D22" s="6" t="str">
        <f t="array" ref="D22:M22">TRANSPOSE(C23:C32)</f>
        <v>uber</v>
      </c>
      <c r="E22" s="6" t="str">
        <v>lyft</v>
      </c>
      <c r="F22" s="6" t="str">
        <v>luckin</v>
      </c>
      <c r="G22" s="6" t="str">
        <v/>
      </c>
      <c r="H22" s="6" t="str">
        <v/>
      </c>
      <c r="I22" s="6" t="str">
        <v/>
      </c>
      <c r="J22" s="6" t="str">
        <v/>
      </c>
      <c r="K22" s="6" t="str">
        <v/>
      </c>
      <c r="L22" s="6" t="str">
        <v/>
      </c>
      <c r="M22" s="6" t="str">
        <v/>
      </c>
      <c r="Q22" s="5" t="str">
        <f ca="1"/>
        <v>spot lyft</v>
      </c>
      <c r="R22" s="36">
        <f ca="1"/>
        <v>8.3920819726307971E-4</v>
      </c>
    </row>
    <row r="23" spans="2:19" x14ac:dyDescent="0.45">
      <c r="C23" s="6" t="str">
        <f t="array" ref="C23:C32">IF(LEN(C9:C18)&gt;0,C9:C18,"")</f>
        <v>uber</v>
      </c>
      <c r="D23" s="29">
        <v>1</v>
      </c>
      <c r="E23" s="29">
        <f t="array" ref="E23:M23">TRANSPOSE(D24:D32)</f>
        <v>0.7</v>
      </c>
      <c r="F23" s="29">
        <v>0.3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Q23" s="5" t="str">
        <f ca="1"/>
        <v>spot luckin</v>
      </c>
      <c r="R23" s="36">
        <f ca="1"/>
        <v>5.3909429623618336E-3</v>
      </c>
    </row>
    <row r="24" spans="2:19" x14ac:dyDescent="0.45">
      <c r="C24" s="6" t="str">
        <v>lyft</v>
      </c>
      <c r="D24" s="30">
        <v>0.7</v>
      </c>
      <c r="E24" s="29">
        <v>1</v>
      </c>
      <c r="F24" s="29">
        <f t="array" ref="F24:M24">TRANSPOSE(E25:E32)</f>
        <v>0.3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Q24" s="5" t="str">
        <f ca="1"/>
        <v>repo spread uber</v>
      </c>
      <c r="R24" s="36">
        <f ca="1"/>
        <v>-1.4698674508598792E-2</v>
      </c>
    </row>
    <row r="25" spans="2:19" x14ac:dyDescent="0.45">
      <c r="C25" s="6" t="str">
        <v>luckin</v>
      </c>
      <c r="D25" s="30">
        <v>0.3</v>
      </c>
      <c r="E25" s="30">
        <v>0.3</v>
      </c>
      <c r="F25" s="29">
        <v>1</v>
      </c>
      <c r="G25" s="29">
        <f t="array" ref="G25:M25">TRANSPOSE(F26:F32)</f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Q25" s="5" t="str">
        <f ca="1"/>
        <v>repo spread lyft</v>
      </c>
      <c r="R25" s="36">
        <f ca="1"/>
        <v>-6.6959506590847997E-2</v>
      </c>
    </row>
    <row r="26" spans="2:19" x14ac:dyDescent="0.45">
      <c r="C26" s="6" t="str">
        <v/>
      </c>
      <c r="D26" s="30"/>
      <c r="E26" s="30"/>
      <c r="F26" s="30"/>
      <c r="G26" s="29">
        <v>1</v>
      </c>
      <c r="H26" s="29">
        <f t="array" ref="H26:M26">TRANSPOSE(G27:G32)</f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Q26" s="5" t="str">
        <f ca="1"/>
        <v>repo spread luckin</v>
      </c>
      <c r="R26" s="36">
        <f ca="1"/>
        <v>-6.6339138885223553E-2</v>
      </c>
    </row>
    <row r="27" spans="2:19" x14ac:dyDescent="0.45">
      <c r="C27" s="6" t="str">
        <v/>
      </c>
      <c r="D27" s="30"/>
      <c r="E27" s="30"/>
      <c r="F27" s="30"/>
      <c r="G27" s="30"/>
      <c r="H27" s="29">
        <v>1</v>
      </c>
      <c r="I27" s="29">
        <f t="array" ref="I27:M27">TRANSPOSE(H28:H32)</f>
        <v>0</v>
      </c>
      <c r="J27" s="29">
        <v>0</v>
      </c>
      <c r="K27" s="29">
        <v>0</v>
      </c>
      <c r="L27" s="29">
        <v>0</v>
      </c>
      <c r="M27" s="29">
        <v>0</v>
      </c>
      <c r="Q27" s="5" t="str">
        <f ca="1"/>
        <v>div uber 0.25</v>
      </c>
      <c r="R27" s="36">
        <f ca="1"/>
        <v>-3.378433637365473E-2</v>
      </c>
    </row>
    <row r="28" spans="2:19" x14ac:dyDescent="0.45">
      <c r="C28" s="6" t="str">
        <v/>
      </c>
      <c r="D28" s="30"/>
      <c r="E28" s="30"/>
      <c r="F28" s="30"/>
      <c r="G28" s="30"/>
      <c r="H28" s="30"/>
      <c r="I28" s="29">
        <v>1</v>
      </c>
      <c r="J28" s="29">
        <f t="array" ref="J28:M28">TRANSPOSE(I29:I32)</f>
        <v>0</v>
      </c>
      <c r="K28" s="29">
        <v>0</v>
      </c>
      <c r="L28" s="29">
        <v>0</v>
      </c>
      <c r="M28" s="29">
        <v>0</v>
      </c>
      <c r="Q28" s="5" t="str">
        <f ca="1"/>
        <v>div lyft 0.25</v>
      </c>
      <c r="R28" s="36">
        <f ca="1"/>
        <v>-0.11079783359950623</v>
      </c>
    </row>
    <row r="29" spans="2:19" x14ac:dyDescent="0.45">
      <c r="C29" s="6" t="str">
        <v/>
      </c>
      <c r="D29" s="30"/>
      <c r="E29" s="30"/>
      <c r="F29" s="30"/>
      <c r="G29" s="30"/>
      <c r="H29" s="30"/>
      <c r="I29" s="30"/>
      <c r="J29" s="29">
        <v>1</v>
      </c>
      <c r="K29" s="29">
        <f t="array" ref="K29:M29">TRANSPOSE(J30:J32)</f>
        <v>0</v>
      </c>
      <c r="L29" s="29">
        <v>0</v>
      </c>
      <c r="M29" s="29">
        <v>0</v>
      </c>
      <c r="Q29" s="5" t="str">
        <f ca="1"/>
        <v>div luckin 0.25</v>
      </c>
      <c r="R29" s="36">
        <f ca="1"/>
        <v>-0.12948155244360329</v>
      </c>
    </row>
    <row r="30" spans="2:19" x14ac:dyDescent="0.45">
      <c r="C30" s="6" t="str">
        <v/>
      </c>
      <c r="D30" s="30"/>
      <c r="E30" s="30"/>
      <c r="F30" s="30"/>
      <c r="G30" s="30"/>
      <c r="H30" s="30"/>
      <c r="I30" s="30"/>
      <c r="J30" s="30"/>
      <c r="K30" s="29">
        <v>1</v>
      </c>
      <c r="L30" s="29">
        <f t="array" ref="L30:M30">TRANSPOSE(K31:K32)</f>
        <v>0</v>
      </c>
      <c r="M30" s="29">
        <v>0</v>
      </c>
      <c r="Q30" s="5" t="str">
        <f ca="1"/>
        <v>div uber 0.50</v>
      </c>
      <c r="R30" s="36">
        <f ca="1"/>
        <v>0</v>
      </c>
    </row>
    <row r="31" spans="2:19" x14ac:dyDescent="0.45">
      <c r="C31" s="6" t="str">
        <v/>
      </c>
      <c r="D31" s="30"/>
      <c r="E31" s="30"/>
      <c r="F31" s="30"/>
      <c r="G31" s="30"/>
      <c r="H31" s="30"/>
      <c r="I31" s="30"/>
      <c r="J31" s="30"/>
      <c r="K31" s="30"/>
      <c r="L31" s="29">
        <v>1</v>
      </c>
      <c r="M31" s="29">
        <f>L32</f>
        <v>0</v>
      </c>
      <c r="Q31" s="5" t="str">
        <f ca="1"/>
        <v>div lyft 0.50</v>
      </c>
      <c r="R31" s="36">
        <f ca="1"/>
        <v>0</v>
      </c>
    </row>
    <row r="32" spans="2:19" x14ac:dyDescent="0.45">
      <c r="C32" s="6" t="str">
        <v/>
      </c>
      <c r="D32" s="30"/>
      <c r="E32" s="30"/>
      <c r="F32" s="30"/>
      <c r="G32" s="30"/>
      <c r="H32" s="30"/>
      <c r="I32" s="30"/>
      <c r="J32" s="30"/>
      <c r="K32" s="30"/>
      <c r="L32" s="30"/>
      <c r="M32" s="29">
        <v>1</v>
      </c>
      <c r="Q32" s="5" t="str">
        <f ca="1"/>
        <v>div luckin 0.50</v>
      </c>
      <c r="R32" s="36">
        <f ca="1"/>
        <v>0</v>
      </c>
    </row>
    <row r="33" spans="2:18" x14ac:dyDescent="0.45">
      <c r="Q33" s="5" t="str">
        <f ca="1"/>
        <v>div uber 0.75</v>
      </c>
      <c r="R33" s="36">
        <f ca="1"/>
        <v>0</v>
      </c>
    </row>
    <row r="34" spans="2:18" x14ac:dyDescent="0.45">
      <c r="C34" s="8" t="s">
        <v>19</v>
      </c>
      <c r="J34" s="1" t="s">
        <v>18</v>
      </c>
      <c r="K34" s="14">
        <v>0.25</v>
      </c>
      <c r="Q34" s="5" t="str">
        <f ca="1"/>
        <v>div lyft 0.75</v>
      </c>
      <c r="R34" s="36">
        <f ca="1"/>
        <v>0</v>
      </c>
    </row>
    <row r="35" spans="2:18" x14ac:dyDescent="0.45">
      <c r="Q35" s="5" t="str">
        <f ca="1"/>
        <v>div luckin 0.75</v>
      </c>
      <c r="R35" s="36">
        <f ca="1"/>
        <v>0</v>
      </c>
    </row>
    <row r="36" spans="2:18" x14ac:dyDescent="0.45">
      <c r="C36" s="8" t="s">
        <v>37</v>
      </c>
      <c r="Q36" s="5" t="str">
        <f ca="1"/>
        <v>ATM uber</v>
      </c>
      <c r="R36" s="36">
        <f ca="1"/>
        <v>-4.7866615287150791E-2</v>
      </c>
    </row>
    <row r="37" spans="2:18" x14ac:dyDescent="0.45">
      <c r="C37" s="8" t="s">
        <v>36</v>
      </c>
      <c r="J37" s="1" t="s">
        <v>17</v>
      </c>
      <c r="K37" s="1">
        <f>MAX(B40:B49)</f>
        <v>3</v>
      </c>
      <c r="Q37" s="5" t="str">
        <f ca="1"/>
        <v>ATM lyft</v>
      </c>
      <c r="R37" s="36">
        <f ca="1"/>
        <v>-0.15670370202632974</v>
      </c>
    </row>
    <row r="38" spans="2:18" x14ac:dyDescent="0.45">
      <c r="K38" s="20"/>
      <c r="Q38" s="5" t="str">
        <f ca="1"/>
        <v>ATM luckin</v>
      </c>
      <c r="R38" s="36">
        <f ca="1"/>
        <v>-0.1525980101606477</v>
      </c>
    </row>
    <row r="39" spans="2:18" ht="14.65" thickBot="1" x14ac:dyDescent="0.5">
      <c r="C39" s="1" t="s">
        <v>11</v>
      </c>
      <c r="D39" s="1" t="str">
        <f t="array" ref="D39:M39">D22:M22</f>
        <v>uber</v>
      </c>
      <c r="E39" s="1" t="str">
        <v>lyft</v>
      </c>
      <c r="F39" s="1" t="str">
        <v>luckin</v>
      </c>
      <c r="G39" s="1" t="str">
        <v/>
      </c>
      <c r="H39" s="1" t="str">
        <v/>
      </c>
      <c r="I39" s="1" t="str">
        <v/>
      </c>
      <c r="J39" s="1" t="str">
        <v/>
      </c>
      <c r="K39" s="1" t="str">
        <v/>
      </c>
      <c r="L39" s="1" t="str">
        <v/>
      </c>
      <c r="M39" s="1" t="str">
        <v/>
      </c>
      <c r="Q39" s="5" t="str">
        <f ca="1"/>
        <v>skew uber</v>
      </c>
      <c r="R39" s="36">
        <f ca="1"/>
        <v>2.1439903798763024E-2</v>
      </c>
    </row>
    <row r="40" spans="2:18" x14ac:dyDescent="0.45">
      <c r="B40" s="5">
        <v>1</v>
      </c>
      <c r="C40" s="11">
        <v>0.25</v>
      </c>
      <c r="D40" s="10">
        <v>0</v>
      </c>
      <c r="E40" s="9">
        <v>0</v>
      </c>
      <c r="F40" s="9"/>
      <c r="G40" s="9"/>
      <c r="H40" s="9"/>
      <c r="I40" s="9"/>
      <c r="J40" s="9"/>
      <c r="K40" s="9"/>
      <c r="L40" s="9"/>
      <c r="M40" s="9"/>
      <c r="Q40" s="5" t="str">
        <f ca="1"/>
        <v>skew lyft</v>
      </c>
      <c r="R40" s="36">
        <f ca="1"/>
        <v>6.7053341249288301E-2</v>
      </c>
    </row>
    <row r="41" spans="2:18" x14ac:dyDescent="0.45">
      <c r="B41" s="5">
        <f>IF(LEN(C41)&gt;0,B40+1,"")</f>
        <v>2</v>
      </c>
      <c r="C41" s="12">
        <v>0.5</v>
      </c>
      <c r="D41" s="10">
        <v>0</v>
      </c>
      <c r="E41" s="9">
        <v>0</v>
      </c>
      <c r="F41" s="9"/>
      <c r="G41" s="9"/>
      <c r="H41" s="9"/>
      <c r="I41" s="9"/>
      <c r="J41" s="9"/>
      <c r="K41" s="9"/>
      <c r="L41" s="9"/>
      <c r="M41" s="9"/>
      <c r="Q41" s="5" t="str">
        <f ca="1"/>
        <v>skew luckin</v>
      </c>
      <c r="R41" s="36">
        <f ca="1"/>
        <v>7.9247786640885262E-2</v>
      </c>
    </row>
    <row r="42" spans="2:18" x14ac:dyDescent="0.45">
      <c r="B42" s="5">
        <f t="shared" ref="B42:B49" si="1">IF(LEN(C42)&gt;0,B41+1,"")</f>
        <v>3</v>
      </c>
      <c r="C42" s="12">
        <v>0.75</v>
      </c>
      <c r="D42" s="10">
        <v>0</v>
      </c>
      <c r="E42" s="9">
        <v>0</v>
      </c>
      <c r="F42" s="9"/>
      <c r="G42" s="9"/>
      <c r="H42" s="9"/>
      <c r="I42" s="9"/>
      <c r="J42" s="9"/>
      <c r="K42" s="9"/>
      <c r="L42" s="9"/>
      <c r="M42" s="9"/>
      <c r="Q42" s="5" t="str">
        <f ca="1"/>
        <v>correl lyft uber</v>
      </c>
      <c r="R42" s="36">
        <f ca="1"/>
        <v>7.126558528771137E-3</v>
      </c>
    </row>
    <row r="43" spans="2:18" x14ac:dyDescent="0.45">
      <c r="B43" s="5" t="str">
        <f t="shared" si="1"/>
        <v/>
      </c>
      <c r="C43" s="12"/>
      <c r="D43" s="10"/>
      <c r="E43" s="9"/>
      <c r="F43" s="9"/>
      <c r="G43" s="9"/>
      <c r="H43" s="9"/>
      <c r="I43" s="9"/>
      <c r="J43" s="9"/>
      <c r="K43" s="9"/>
      <c r="L43" s="9"/>
      <c r="M43" s="9"/>
      <c r="Q43" s="5" t="str">
        <f ca="1"/>
        <v>correl luckin uber</v>
      </c>
      <c r="R43" s="36">
        <f ca="1"/>
        <v>3.8945765953818361E-3</v>
      </c>
    </row>
    <row r="44" spans="2:18" x14ac:dyDescent="0.45">
      <c r="B44" s="5" t="str">
        <f t="shared" si="1"/>
        <v/>
      </c>
      <c r="C44" s="12"/>
      <c r="D44" s="10"/>
      <c r="E44" s="9"/>
      <c r="F44" s="9"/>
      <c r="G44" s="9"/>
      <c r="H44" s="9"/>
      <c r="I44" s="9"/>
      <c r="J44" s="9"/>
      <c r="K44" s="9"/>
      <c r="L44" s="9"/>
      <c r="M44" s="9"/>
      <c r="Q44" s="5" t="str">
        <f ca="1"/>
        <v>correl luckin lyft</v>
      </c>
      <c r="R44" s="36">
        <f ca="1"/>
        <v>1.4406372025372791E-2</v>
      </c>
    </row>
    <row r="45" spans="2:18" x14ac:dyDescent="0.45">
      <c r="B45" s="5" t="str">
        <f t="shared" si="1"/>
        <v/>
      </c>
      <c r="C45" s="12"/>
      <c r="D45" s="10"/>
      <c r="E45" s="9"/>
      <c r="F45" s="9"/>
      <c r="G45" s="9"/>
      <c r="H45" s="9"/>
      <c r="I45" s="9"/>
      <c r="J45" s="9"/>
      <c r="K45" s="9"/>
      <c r="L45" s="9"/>
      <c r="M45" s="9"/>
      <c r="Q45" s="5" t="str">
        <f ca="1"/>
        <v>lambda</v>
      </c>
      <c r="R45" s="36">
        <f ca="1"/>
        <v>1.9931508790879442E-2</v>
      </c>
    </row>
    <row r="46" spans="2:18" x14ac:dyDescent="0.45">
      <c r="B46" s="5" t="str">
        <f t="shared" si="1"/>
        <v/>
      </c>
      <c r="C46" s="12"/>
      <c r="D46" s="10"/>
      <c r="E46" s="9"/>
      <c r="F46" s="9"/>
      <c r="G46" s="9"/>
      <c r="H46" s="9"/>
      <c r="I46" s="9"/>
      <c r="J46" s="9"/>
      <c r="K46" s="9"/>
      <c r="L46" s="9"/>
      <c r="M46" s="9"/>
      <c r="Q46" s="5" t="e">
        <f ca="1"/>
        <v>#N/A</v>
      </c>
      <c r="R46" s="36" t="e">
        <f ca="1"/>
        <v>#N/A</v>
      </c>
    </row>
    <row r="47" spans="2:18" x14ac:dyDescent="0.45">
      <c r="B47" s="5" t="str">
        <f t="shared" si="1"/>
        <v/>
      </c>
      <c r="C47" s="12"/>
      <c r="D47" s="10"/>
      <c r="E47" s="9"/>
      <c r="F47" s="9"/>
      <c r="G47" s="9"/>
      <c r="H47" s="9"/>
      <c r="I47" s="9"/>
      <c r="J47" s="9"/>
      <c r="K47" s="9"/>
      <c r="L47" s="9"/>
      <c r="M47" s="9"/>
      <c r="Q47" s="5" t="e">
        <f ca="1"/>
        <v>#N/A</v>
      </c>
      <c r="R47" s="36" t="e">
        <f ca="1"/>
        <v>#N/A</v>
      </c>
    </row>
    <row r="48" spans="2:18" x14ac:dyDescent="0.45">
      <c r="B48" s="5" t="str">
        <f t="shared" si="1"/>
        <v/>
      </c>
      <c r="C48" s="12"/>
      <c r="D48" s="10"/>
      <c r="E48" s="9"/>
      <c r="F48" s="9"/>
      <c r="G48" s="9"/>
      <c r="H48" s="9"/>
      <c r="I48" s="9"/>
      <c r="J48" s="9"/>
      <c r="K48" s="9"/>
      <c r="L48" s="9"/>
      <c r="M48" s="9"/>
      <c r="Q48" s="5" t="e">
        <f ca="1"/>
        <v>#N/A</v>
      </c>
      <c r="R48" s="36" t="e">
        <f ca="1"/>
        <v>#N/A</v>
      </c>
    </row>
    <row r="49" spans="2:18" ht="14.65" thickBot="1" x14ac:dyDescent="0.5">
      <c r="B49" s="5" t="str">
        <f t="shared" si="1"/>
        <v/>
      </c>
      <c r="C49" s="13"/>
      <c r="D49" s="10"/>
      <c r="E49" s="9"/>
      <c r="F49" s="9"/>
      <c r="G49" s="9"/>
      <c r="H49" s="9"/>
      <c r="I49" s="9"/>
      <c r="J49" s="9"/>
      <c r="K49" s="9"/>
      <c r="L49" s="9"/>
      <c r="M49" s="9"/>
      <c r="Q49" s="5" t="e">
        <f ca="1"/>
        <v>#N/A</v>
      </c>
      <c r="R49" s="36" t="e">
        <f ca="1"/>
        <v>#N/A</v>
      </c>
    </row>
    <row r="50" spans="2:18" x14ac:dyDescent="0.45">
      <c r="Q50" s="5" t="e">
        <f ca="1"/>
        <v>#N/A</v>
      </c>
      <c r="R50" s="36" t="e">
        <f ca="1"/>
        <v>#N/A</v>
      </c>
    </row>
    <row r="51" spans="2:18" x14ac:dyDescent="0.45">
      <c r="C51" s="8" t="s">
        <v>52</v>
      </c>
      <c r="G51" s="8" t="s">
        <v>12</v>
      </c>
      <c r="Q51" s="5" t="e">
        <f ca="1"/>
        <v>#N/A</v>
      </c>
      <c r="R51" s="36" t="e">
        <f ca="1"/>
        <v>#N/A</v>
      </c>
    </row>
    <row r="52" spans="2:18" x14ac:dyDescent="0.45">
      <c r="C52" s="5" t="s">
        <v>13</v>
      </c>
      <c r="D52" s="5"/>
      <c r="E52" s="3">
        <v>0.02</v>
      </c>
      <c r="G52" s="1"/>
      <c r="H52" s="1" t="s">
        <v>14</v>
      </c>
      <c r="I52" s="8" t="s">
        <v>53</v>
      </c>
      <c r="Q52" s="5" t="e">
        <f ca="1"/>
        <v>#N/A</v>
      </c>
      <c r="R52" s="36" t="e">
        <f ca="1"/>
        <v>#N/A</v>
      </c>
    </row>
    <row r="53" spans="2:18" x14ac:dyDescent="0.45">
      <c r="G53" s="1" t="str">
        <f t="array" ref="G53:G62">C23:C32</f>
        <v>uber</v>
      </c>
      <c r="H53" s="3">
        <v>0</v>
      </c>
      <c r="Q53" s="5" t="e">
        <f ca="1"/>
        <v>#N/A</v>
      </c>
      <c r="R53" s="36" t="e">
        <f ca="1"/>
        <v>#N/A</v>
      </c>
    </row>
    <row r="54" spans="2:18" x14ac:dyDescent="0.45">
      <c r="G54" s="1" t="str">
        <v>lyft</v>
      </c>
      <c r="H54" s="3">
        <v>0</v>
      </c>
      <c r="Q54" s="5" t="e">
        <f ca="1"/>
        <v>#N/A</v>
      </c>
      <c r="R54" s="36" t="e">
        <f ca="1"/>
        <v>#N/A</v>
      </c>
    </row>
    <row r="55" spans="2:18" x14ac:dyDescent="0.45">
      <c r="G55" s="1" t="str">
        <v>luckin</v>
      </c>
      <c r="H55" s="3">
        <v>0</v>
      </c>
      <c r="Q55" s="5" t="e">
        <f ca="1"/>
        <v>#N/A</v>
      </c>
      <c r="R55" s="36" t="e">
        <f ca="1"/>
        <v>#N/A</v>
      </c>
    </row>
    <row r="56" spans="2:18" x14ac:dyDescent="0.45">
      <c r="G56" s="1" t="str">
        <v/>
      </c>
      <c r="H56" s="3"/>
      <c r="Q56" s="5" t="e">
        <f ca="1"/>
        <v>#N/A</v>
      </c>
      <c r="R56" s="36" t="e">
        <f ca="1"/>
        <v>#N/A</v>
      </c>
    </row>
    <row r="57" spans="2:18" x14ac:dyDescent="0.45">
      <c r="G57" s="1" t="str">
        <v/>
      </c>
      <c r="H57" s="3"/>
      <c r="Q57" s="5" t="e">
        <f ca="1"/>
        <v>#N/A</v>
      </c>
      <c r="R57" s="36" t="e">
        <f ca="1"/>
        <v>#N/A</v>
      </c>
    </row>
    <row r="58" spans="2:18" x14ac:dyDescent="0.45">
      <c r="G58" s="1" t="str">
        <v/>
      </c>
      <c r="H58" s="3"/>
      <c r="Q58" s="5" t="e">
        <f ca="1"/>
        <v>#N/A</v>
      </c>
      <c r="R58" s="36" t="e">
        <f ca="1"/>
        <v>#N/A</v>
      </c>
    </row>
    <row r="59" spans="2:18" x14ac:dyDescent="0.45">
      <c r="G59" s="1" t="str">
        <v/>
      </c>
      <c r="H59" s="3"/>
      <c r="Q59" s="5" t="e">
        <f ca="1"/>
        <v>#N/A</v>
      </c>
      <c r="R59" s="36" t="e">
        <f ca="1"/>
        <v>#N/A</v>
      </c>
    </row>
    <row r="60" spans="2:18" x14ac:dyDescent="0.45">
      <c r="G60" s="1" t="str">
        <v/>
      </c>
      <c r="H60" s="3"/>
      <c r="Q60" s="5" t="e">
        <f ca="1"/>
        <v>#N/A</v>
      </c>
      <c r="R60" s="36" t="e">
        <f ca="1"/>
        <v>#N/A</v>
      </c>
    </row>
    <row r="61" spans="2:18" x14ac:dyDescent="0.45">
      <c r="G61" s="1" t="str">
        <v/>
      </c>
      <c r="H61" s="3"/>
      <c r="Q61" s="5" t="e">
        <f ca="1"/>
        <v>#N/A</v>
      </c>
      <c r="R61" s="36" t="e">
        <f ca="1"/>
        <v>#N/A</v>
      </c>
    </row>
    <row r="62" spans="2:18" x14ac:dyDescent="0.45">
      <c r="G62" s="1" t="str">
        <v/>
      </c>
      <c r="H62" s="3"/>
      <c r="Q62" s="5" t="e">
        <f ca="1"/>
        <v>#N/A</v>
      </c>
      <c r="R62" s="36" t="e">
        <f ca="1"/>
        <v>#N/A</v>
      </c>
    </row>
    <row r="63" spans="2:18" x14ac:dyDescent="0.45">
      <c r="Q63" s="5" t="e">
        <f ca="1"/>
        <v>#N/A</v>
      </c>
      <c r="R63" s="36" t="e">
        <f ca="1"/>
        <v>#N/A</v>
      </c>
    </row>
    <row r="64" spans="2:18" x14ac:dyDescent="0.45">
      <c r="Q64" s="5" t="e">
        <f ca="1"/>
        <v>#N/A</v>
      </c>
      <c r="R64" s="36" t="e">
        <f ca="1"/>
        <v>#N/A</v>
      </c>
    </row>
    <row r="65" spans="17:18" x14ac:dyDescent="0.45">
      <c r="Q65" s="5" t="e">
        <f ca="1"/>
        <v>#N/A</v>
      </c>
      <c r="R65" s="36" t="e">
        <f ca="1"/>
        <v>#N/A</v>
      </c>
    </row>
    <row r="66" spans="17:18" x14ac:dyDescent="0.45">
      <c r="Q66" s="5" t="e">
        <f ca="1"/>
        <v>#N/A</v>
      </c>
      <c r="R66" s="36" t="e">
        <f ca="1"/>
        <v>#N/A</v>
      </c>
    </row>
    <row r="67" spans="17:18" x14ac:dyDescent="0.45">
      <c r="Q67" s="5" t="e">
        <f ca="1"/>
        <v>#N/A</v>
      </c>
      <c r="R67" s="36" t="e">
        <f ca="1"/>
        <v>#N/A</v>
      </c>
    </row>
    <row r="68" spans="17:18" x14ac:dyDescent="0.45">
      <c r="Q68" s="5" t="e">
        <f ca="1"/>
        <v>#N/A</v>
      </c>
      <c r="R68" s="36" t="e">
        <f ca="1"/>
        <v>#N/A</v>
      </c>
    </row>
    <row r="69" spans="17:18" x14ac:dyDescent="0.45">
      <c r="Q69" s="5" t="e">
        <f ca="1"/>
        <v>#N/A</v>
      </c>
      <c r="R69" s="36" t="e">
        <f ca="1"/>
        <v>#N/A</v>
      </c>
    </row>
    <row r="70" spans="17:18" x14ac:dyDescent="0.45">
      <c r="Q70" s="5" t="e">
        <f ca="1"/>
        <v>#N/A</v>
      </c>
      <c r="R70" s="36" t="e">
        <f ca="1"/>
        <v>#N/A</v>
      </c>
    </row>
    <row r="71" spans="17:18" x14ac:dyDescent="0.45">
      <c r="Q71" s="5" t="e">
        <f ca="1"/>
        <v>#N/A</v>
      </c>
      <c r="R71" s="36" t="e">
        <f ca="1"/>
        <v>#N/A</v>
      </c>
    </row>
    <row r="72" spans="17:18" x14ac:dyDescent="0.45">
      <c r="Q72" s="5" t="e">
        <f ca="1"/>
        <v>#N/A</v>
      </c>
      <c r="R72" s="36" t="e">
        <f ca="1"/>
        <v>#N/A</v>
      </c>
    </row>
    <row r="73" spans="17:18" x14ac:dyDescent="0.45">
      <c r="Q73" s="5" t="e">
        <f ca="1"/>
        <v>#N/A</v>
      </c>
      <c r="R73" s="36" t="e">
        <f ca="1"/>
        <v>#N/A</v>
      </c>
    </row>
    <row r="74" spans="17:18" x14ac:dyDescent="0.45">
      <c r="Q74" s="5" t="e">
        <f ca="1"/>
        <v>#N/A</v>
      </c>
      <c r="R74" s="36" t="e">
        <f ca="1"/>
        <v>#N/A</v>
      </c>
    </row>
    <row r="75" spans="17:18" x14ac:dyDescent="0.45">
      <c r="Q75" s="5" t="e">
        <f ca="1"/>
        <v>#N/A</v>
      </c>
      <c r="R75" s="36" t="e">
        <f ca="1"/>
        <v>#N/A</v>
      </c>
    </row>
    <row r="76" spans="17:18" x14ac:dyDescent="0.45">
      <c r="Q76" s="5" t="e">
        <f ca="1"/>
        <v>#N/A</v>
      </c>
      <c r="R76" s="36" t="e">
        <f ca="1"/>
        <v>#N/A</v>
      </c>
    </row>
    <row r="77" spans="17:18" x14ac:dyDescent="0.45">
      <c r="Q77" s="5" t="e">
        <f ca="1"/>
        <v>#N/A</v>
      </c>
      <c r="R77" s="36" t="e">
        <f ca="1"/>
        <v>#N/A</v>
      </c>
    </row>
    <row r="78" spans="17:18" x14ac:dyDescent="0.45">
      <c r="Q78" s="5" t="e">
        <f ca="1"/>
        <v>#N/A</v>
      </c>
      <c r="R78" s="36" t="e">
        <f ca="1"/>
        <v>#N/A</v>
      </c>
    </row>
    <row r="79" spans="17:18" x14ac:dyDescent="0.45">
      <c r="Q79" s="5" t="e">
        <f ca="1"/>
        <v>#N/A</v>
      </c>
      <c r="R79" s="36" t="e">
        <f ca="1"/>
        <v>#N/A</v>
      </c>
    </row>
    <row r="80" spans="17:18" x14ac:dyDescent="0.45">
      <c r="Q80" s="5" t="e">
        <f ca="1"/>
        <v>#N/A</v>
      </c>
      <c r="R80" s="36" t="e">
        <f ca="1"/>
        <v>#N/A</v>
      </c>
    </row>
    <row r="81" spans="17:18" x14ac:dyDescent="0.45">
      <c r="Q81" s="5" t="e">
        <f ca="1"/>
        <v>#N/A</v>
      </c>
      <c r="R81" s="36" t="e">
        <f ca="1"/>
        <v>#N/A</v>
      </c>
    </row>
    <row r="82" spans="17:18" x14ac:dyDescent="0.45">
      <c r="Q82" s="5" t="e">
        <f ca="1"/>
        <v>#N/A</v>
      </c>
      <c r="R82" s="36" t="e">
        <f ca="1"/>
        <v>#N/A</v>
      </c>
    </row>
    <row r="83" spans="17:18" x14ac:dyDescent="0.45">
      <c r="Q83" s="5" t="e">
        <f ca="1"/>
        <v>#N/A</v>
      </c>
      <c r="R83" s="36" t="e">
        <f ca="1"/>
        <v>#N/A</v>
      </c>
    </row>
    <row r="84" spans="17:18" x14ac:dyDescent="0.45">
      <c r="Q84" s="5" t="e">
        <f ca="1"/>
        <v>#N/A</v>
      </c>
      <c r="R84" s="36" t="e">
        <f ca="1"/>
        <v>#N/A</v>
      </c>
    </row>
    <row r="85" spans="17:18" x14ac:dyDescent="0.45">
      <c r="Q85" s="5" t="e">
        <f ca="1"/>
        <v>#N/A</v>
      </c>
      <c r="R85" s="36" t="e">
        <f ca="1"/>
        <v>#N/A</v>
      </c>
    </row>
    <row r="86" spans="17:18" x14ac:dyDescent="0.45">
      <c r="Q86" s="5" t="e">
        <f ca="1"/>
        <v>#N/A</v>
      </c>
      <c r="R86" s="36" t="e">
        <f ca="1"/>
        <v>#N/A</v>
      </c>
    </row>
    <row r="87" spans="17:18" x14ac:dyDescent="0.45">
      <c r="Q87" s="5" t="e">
        <f ca="1"/>
        <v>#N/A</v>
      </c>
      <c r="R87" s="36" t="e">
        <f ca="1"/>
        <v>#N/A</v>
      </c>
    </row>
    <row r="88" spans="17:18" x14ac:dyDescent="0.45">
      <c r="Q88" s="5" t="e">
        <f ca="1"/>
        <v>#N/A</v>
      </c>
      <c r="R88" s="36" t="e">
        <f ca="1"/>
        <v>#N/A</v>
      </c>
    </row>
    <row r="89" spans="17:18" x14ac:dyDescent="0.45">
      <c r="Q89" s="5" t="e">
        <f ca="1"/>
        <v>#N/A</v>
      </c>
      <c r="R89" s="36" t="e">
        <f ca="1"/>
        <v>#N/A</v>
      </c>
    </row>
    <row r="90" spans="17:18" x14ac:dyDescent="0.45">
      <c r="Q90" s="5" t="e">
        <f ca="1"/>
        <v>#N/A</v>
      </c>
      <c r="R90" s="36" t="e">
        <f ca="1"/>
        <v>#N/A</v>
      </c>
    </row>
    <row r="91" spans="17:18" x14ac:dyDescent="0.45">
      <c r="Q91" s="5" t="e">
        <f ca="1"/>
        <v>#N/A</v>
      </c>
      <c r="R91" s="36" t="e">
        <f ca="1"/>
        <v>#N/A</v>
      </c>
    </row>
    <row r="92" spans="17:18" x14ac:dyDescent="0.45">
      <c r="Q92" s="5" t="e">
        <f ca="1"/>
        <v>#N/A</v>
      </c>
      <c r="R92" s="36" t="e">
        <f ca="1"/>
        <v>#N/A</v>
      </c>
    </row>
    <row r="93" spans="17:18" x14ac:dyDescent="0.45">
      <c r="Q93" s="5" t="e">
        <f ca="1"/>
        <v>#N/A</v>
      </c>
      <c r="R93" s="36" t="e">
        <f ca="1"/>
        <v>#N/A</v>
      </c>
    </row>
    <row r="94" spans="17:18" x14ac:dyDescent="0.45">
      <c r="Q94" s="5" t="e">
        <f ca="1"/>
        <v>#N/A</v>
      </c>
      <c r="R94" s="36" t="e">
        <f ca="1"/>
        <v>#N/A</v>
      </c>
    </row>
    <row r="95" spans="17:18" x14ac:dyDescent="0.45">
      <c r="Q95" s="5" t="e">
        <f ca="1"/>
        <v>#N/A</v>
      </c>
      <c r="R95" s="36" t="e">
        <f ca="1"/>
        <v>#N/A</v>
      </c>
    </row>
    <row r="96" spans="17:18" x14ac:dyDescent="0.45">
      <c r="Q96" s="5" t="e">
        <f ca="1"/>
        <v>#N/A</v>
      </c>
      <c r="R96" s="36" t="e">
        <f ca="1"/>
        <v>#N/A</v>
      </c>
    </row>
    <row r="97" spans="17:18" x14ac:dyDescent="0.45">
      <c r="Q97" s="5" t="e">
        <f ca="1"/>
        <v>#N/A</v>
      </c>
      <c r="R97" s="36" t="e">
        <f ca="1"/>
        <v>#N/A</v>
      </c>
    </row>
    <row r="98" spans="17:18" x14ac:dyDescent="0.45">
      <c r="Q98" s="5" t="e">
        <f ca="1"/>
        <v>#N/A</v>
      </c>
      <c r="R98" s="36" t="e">
        <f ca="1"/>
        <v>#N/A</v>
      </c>
    </row>
    <row r="99" spans="17:18" x14ac:dyDescent="0.45">
      <c r="Q99" s="5" t="e">
        <f ca="1"/>
        <v>#N/A</v>
      </c>
      <c r="R99" s="36" t="e">
        <f ca="1"/>
        <v>#N/A</v>
      </c>
    </row>
    <row r="100" spans="17:18" x14ac:dyDescent="0.45">
      <c r="Q100" s="5" t="e">
        <f ca="1"/>
        <v>#N/A</v>
      </c>
      <c r="R100" s="36" t="e">
        <f ca="1"/>
        <v>#N/A</v>
      </c>
    </row>
    <row r="101" spans="17:18" x14ac:dyDescent="0.45">
      <c r="Q101" s="5" t="e">
        <f ca="1"/>
        <v>#N/A</v>
      </c>
      <c r="R101" s="36" t="e">
        <f ca="1"/>
        <v>#N/A</v>
      </c>
    </row>
    <row r="102" spans="17:18" x14ac:dyDescent="0.45">
      <c r="Q102" s="5" t="e">
        <f ca="1"/>
        <v>#N/A</v>
      </c>
      <c r="R102" s="36" t="e">
        <f ca="1"/>
        <v>#N/A</v>
      </c>
    </row>
    <row r="103" spans="17:18" x14ac:dyDescent="0.45">
      <c r="Q103" s="5" t="e">
        <f ca="1"/>
        <v>#N/A</v>
      </c>
      <c r="R103" s="36" t="e">
        <f ca="1"/>
        <v>#N/A</v>
      </c>
    </row>
    <row r="104" spans="17:18" x14ac:dyDescent="0.45">
      <c r="Q104" s="5" t="e">
        <f ca="1"/>
        <v>#N/A</v>
      </c>
      <c r="R104" s="36" t="e">
        <f ca="1"/>
        <v>#N/A</v>
      </c>
    </row>
    <row r="105" spans="17:18" x14ac:dyDescent="0.45">
      <c r="Q105" s="5" t="e">
        <f ca="1"/>
        <v>#N/A</v>
      </c>
      <c r="R105" s="36" t="e">
        <f ca="1"/>
        <v>#N/A</v>
      </c>
    </row>
    <row r="106" spans="17:18" x14ac:dyDescent="0.45">
      <c r="Q106" s="5" t="e">
        <f ca="1"/>
        <v>#N/A</v>
      </c>
      <c r="R106" s="36" t="e">
        <f ca="1"/>
        <v>#N/A</v>
      </c>
    </row>
    <row r="107" spans="17:18" x14ac:dyDescent="0.45">
      <c r="Q107" s="5" t="e">
        <f ca="1"/>
        <v>#N/A</v>
      </c>
      <c r="R107" s="36" t="e">
        <f ca="1"/>
        <v>#N/A</v>
      </c>
    </row>
    <row r="108" spans="17:18" x14ac:dyDescent="0.45">
      <c r="Q108" s="5" t="e">
        <f ca="1"/>
        <v>#N/A</v>
      </c>
      <c r="R108" s="36" t="e">
        <f ca="1"/>
        <v>#N/A</v>
      </c>
    </row>
    <row r="109" spans="17:18" x14ac:dyDescent="0.45">
      <c r="Q109" s="5" t="e">
        <f ca="1"/>
        <v>#N/A</v>
      </c>
      <c r="R109" s="36" t="e">
        <f ca="1"/>
        <v>#N/A</v>
      </c>
    </row>
    <row r="110" spans="17:18" x14ac:dyDescent="0.45">
      <c r="Q110" s="5" t="e">
        <f ca="1"/>
        <v>#N/A</v>
      </c>
      <c r="R110" s="36" t="e">
        <f ca="1"/>
        <v>#N/A</v>
      </c>
    </row>
    <row r="111" spans="17:18" x14ac:dyDescent="0.45">
      <c r="Q111" s="5" t="e">
        <f ca="1"/>
        <v>#N/A</v>
      </c>
      <c r="R111" s="36" t="e">
        <f ca="1"/>
        <v>#N/A</v>
      </c>
    </row>
    <row r="112" spans="17:18" x14ac:dyDescent="0.45">
      <c r="Q112" s="5" t="e">
        <f ca="1"/>
        <v>#N/A</v>
      </c>
      <c r="R112" s="36" t="e">
        <f ca="1"/>
        <v>#N/A</v>
      </c>
    </row>
    <row r="113" spans="17:18" x14ac:dyDescent="0.45">
      <c r="Q113" s="5" t="e">
        <f ca="1"/>
        <v>#N/A</v>
      </c>
      <c r="R113" s="36" t="e">
        <f ca="1"/>
        <v>#N/A</v>
      </c>
    </row>
    <row r="114" spans="17:18" x14ac:dyDescent="0.45">
      <c r="Q114" s="5" t="e">
        <f ca="1"/>
        <v>#N/A</v>
      </c>
      <c r="R114" s="36" t="e">
        <f ca="1"/>
        <v>#N/A</v>
      </c>
    </row>
    <row r="115" spans="17:18" x14ac:dyDescent="0.45">
      <c r="Q115" s="5" t="e">
        <f ca="1"/>
        <v>#N/A</v>
      </c>
      <c r="R115" s="36" t="e">
        <f ca="1"/>
        <v>#N/A</v>
      </c>
    </row>
    <row r="116" spans="17:18" x14ac:dyDescent="0.45">
      <c r="Q116" s="5" t="e">
        <f ca="1"/>
        <v>#N/A</v>
      </c>
      <c r="R116" s="36" t="e">
        <f ca="1"/>
        <v>#N/A</v>
      </c>
    </row>
    <row r="117" spans="17:18" x14ac:dyDescent="0.45">
      <c r="Q117" s="5" t="e">
        <f ca="1"/>
        <v>#N/A</v>
      </c>
      <c r="R117" s="36" t="e">
        <f ca="1"/>
        <v>#N/A</v>
      </c>
    </row>
    <row r="118" spans="17:18" ht="14.65" thickBot="1" x14ac:dyDescent="0.5">
      <c r="Q118" s="5" t="e">
        <f ca="1"/>
        <v>#N/A</v>
      </c>
      <c r="R118" s="37" t="e">
        <f ca="1"/>
        <v>#N/A</v>
      </c>
    </row>
  </sheetData>
  <mergeCells count="3">
    <mergeCell ref="O2:R2"/>
    <mergeCell ref="H14:L14"/>
    <mergeCell ref="H15:L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</dc:creator>
  <cp:lastModifiedBy>Bernardo David COHEN BERAUN</cp:lastModifiedBy>
  <dcterms:created xsi:type="dcterms:W3CDTF">2019-09-26T17:21:49Z</dcterms:created>
  <dcterms:modified xsi:type="dcterms:W3CDTF">2025-04-21T13:36:54Z</dcterms:modified>
</cp:coreProperties>
</file>